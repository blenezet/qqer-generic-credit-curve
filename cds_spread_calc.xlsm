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filterPrivacy="1" codeName="ThisWorkbook" defaultThemeVersion="124226"/>
  <bookViews>
    <workbookView xWindow="240" yWindow="285" windowWidth="14805" windowHeight="7830" tabRatio="419" activeTab="2"/>
  </bookViews>
  <sheets>
    <sheet name="ISDAStandard Bootstrapping" sheetId="1" r:id="rId1"/>
    <sheet name="CreditCurve NonStandard" sheetId="3" state="hidden" r:id="rId2"/>
    <sheet name="ISDAStandard Pricing" sheetId="5" r:id="rId3"/>
    <sheet name="JPY Std" sheetId="6" r:id="rId4"/>
  </sheets>
  <calcPr calcId="144525" calcOnSave="0"/>
</workbook>
</file>

<file path=xl/calcChain.xml><?xml version="1.0" encoding="utf-8"?>
<calcChain xmlns="http://schemas.openxmlformats.org/spreadsheetml/2006/main">
  <c r="G8" i="5" l="1" a="1"/>
  <c r="G8" i="5" l="1"/>
  <c r="G9" i="5"/>
  <c r="G10" i="5"/>
  <c r="G11" i="5"/>
  <c r="K19" i="5"/>
  <c r="L19" i="5"/>
  <c r="M19" i="5"/>
  <c r="N19" i="5"/>
  <c r="O19" i="5"/>
  <c r="P19" i="5"/>
  <c r="J19" i="5"/>
  <c r="J21" i="5"/>
  <c r="K21" i="5"/>
  <c r="L21" i="5"/>
  <c r="M21" i="5"/>
  <c r="N21" i="5"/>
  <c r="O21" i="5"/>
  <c r="P21" i="5"/>
  <c r="J22" i="5"/>
  <c r="K22" i="5"/>
  <c r="L22" i="5"/>
  <c r="M22" i="5"/>
  <c r="N22" i="5"/>
  <c r="O22" i="5"/>
  <c r="P22" i="5"/>
  <c r="J23" i="5"/>
  <c r="K23" i="5"/>
  <c r="L23" i="5"/>
  <c r="M23" i="5"/>
  <c r="N23" i="5"/>
  <c r="O23" i="5"/>
  <c r="P23" i="5"/>
  <c r="K20" i="5"/>
  <c r="L20" i="5"/>
  <c r="M20" i="5"/>
  <c r="N20" i="5"/>
  <c r="O20" i="5"/>
  <c r="P20" i="5"/>
  <c r="J20" i="5"/>
  <c r="D8" i="1" a="1"/>
  <c r="D8" i="3" a="1"/>
  <c r="E15" i="3" l="1"/>
  <c r="E10" i="3"/>
  <c r="E13" i="3"/>
  <c r="E14" i="3"/>
  <c r="E11" i="3"/>
  <c r="D12" i="3"/>
  <c r="D10" i="3"/>
  <c r="D8" i="3"/>
  <c r="D13" i="3"/>
  <c r="D15" i="3"/>
  <c r="D9" i="3"/>
  <c r="E12" i="3"/>
  <c r="D14" i="3"/>
  <c r="D11" i="3"/>
  <c r="E8" i="3"/>
  <c r="E9" i="3"/>
  <c r="D8" i="1"/>
  <c r="F11" i="1"/>
  <c r="F18" i="1"/>
  <c r="G12" i="1"/>
  <c r="H14" i="1"/>
  <c r="G16" i="1"/>
  <c r="G18" i="1"/>
  <c r="G14" i="1"/>
  <c r="F17" i="1"/>
  <c r="D14" i="1"/>
  <c r="H12" i="1"/>
  <c r="D17" i="1"/>
  <c r="G8" i="1"/>
  <c r="G15" i="1"/>
  <c r="F14" i="1"/>
  <c r="F8" i="1"/>
  <c r="E15" i="1"/>
  <c r="F10" i="1"/>
  <c r="H11" i="1"/>
  <c r="G17" i="1"/>
  <c r="G11" i="1"/>
  <c r="E14" i="1"/>
  <c r="F9" i="1"/>
  <c r="F15" i="1"/>
  <c r="G9" i="1"/>
  <c r="D13" i="1"/>
  <c r="G10" i="1"/>
  <c r="H15" i="1"/>
  <c r="F16" i="1"/>
  <c r="E18" i="1"/>
  <c r="H10" i="1"/>
  <c r="E11" i="1"/>
  <c r="J12" i="1" s="1"/>
  <c r="H13" i="1"/>
  <c r="D18" i="1"/>
  <c r="E16" i="1"/>
  <c r="J17" i="1" s="1"/>
  <c r="H9" i="1"/>
  <c r="D12" i="1"/>
  <c r="E9" i="1"/>
  <c r="J10" i="1" s="1"/>
  <c r="E10" i="1"/>
  <c r="J11" i="1" s="1"/>
  <c r="F12" i="1"/>
  <c r="D9" i="1"/>
  <c r="G13" i="1"/>
  <c r="F13" i="1"/>
  <c r="H16" i="1"/>
  <c r="D15" i="1"/>
  <c r="H8" i="1"/>
  <c r="H17" i="1"/>
  <c r="H18" i="1"/>
  <c r="D16" i="1"/>
  <c r="D10" i="1"/>
  <c r="D11" i="1"/>
  <c r="E17" i="1"/>
  <c r="E12" i="1"/>
  <c r="E8" i="1"/>
  <c r="E13" i="1"/>
  <c r="J14" i="1" s="1"/>
  <c r="J8" i="1" l="1"/>
  <c r="J15" i="1"/>
  <c r="J13" i="1"/>
  <c r="J9" i="1"/>
  <c r="J18" i="1"/>
  <c r="J16" i="1"/>
</calcChain>
</file>

<file path=xl/sharedStrings.xml><?xml version="1.0" encoding="utf-8"?>
<sst xmlns="http://schemas.openxmlformats.org/spreadsheetml/2006/main" count="56" uniqueCount="27">
  <si>
    <t>Tenor</t>
  </si>
  <si>
    <t>MarketQuote</t>
  </si>
  <si>
    <t>SurvivalProbability</t>
  </si>
  <si>
    <t>HazardRate</t>
  </si>
  <si>
    <t>Recovery Rate</t>
  </si>
  <si>
    <t>Accrued Premium</t>
  </si>
  <si>
    <t>Def. payment freq</t>
  </si>
  <si>
    <t>DiscountRate</t>
  </si>
  <si>
    <t>Linear interpolation on DiscountRate</t>
  </si>
  <si>
    <t>3M CDS Tenor</t>
  </si>
  <si>
    <t>Today</t>
  </si>
  <si>
    <t>Maturity</t>
  </si>
  <si>
    <t>Prem. Leg Value</t>
  </si>
  <si>
    <t>Def. Leg Value</t>
  </si>
  <si>
    <t>Par swap spread</t>
  </si>
  <si>
    <t>Time</t>
  </si>
  <si>
    <t>1Y</t>
  </si>
  <si>
    <t>AAA</t>
  </si>
  <si>
    <t>AA</t>
  </si>
  <si>
    <t>A</t>
  </si>
  <si>
    <t>BBB</t>
  </si>
  <si>
    <t>BB</t>
  </si>
  <si>
    <t>CCC</t>
  </si>
  <si>
    <t>B</t>
  </si>
  <si>
    <t>3Y</t>
  </si>
  <si>
    <t>5Y</t>
  </si>
  <si>
    <t>10Y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</si>
</sst>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.0000"/>
    <numFmt numFmtId="165" formatCode="0.00000000"/>
    <numFmt numFmtId="166" formatCode="0.000000"/>
    <numFmt numFmtId="167" formatCode="0.00000"/>
    <numFmt numFmtId="168" formatCode="0.0"/>
  </numFmts>
  <fonts count="2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46">
    <xf numFmtId="0" fontId="0" fillId="0" borderId="0" xfId="0"/>
    <xf numFmtId="0" fontId="0" fillId="0" borderId="1" xfId="0" applyBorder="1"/>
    <xf numFmtId="0" fontId="0" fillId="0" borderId="2" xfId="0" applyBorder="1"/>
    <xf numFmtId="0" fontId="0" fillId="2" borderId="3" xfId="0" applyFill="1" applyBorder="1"/>
    <xf numFmtId="0" fontId="0" fillId="2" borderId="0" xfId="0" applyFill="1" applyBorder="1"/>
    <xf numFmtId="0" fontId="0" fillId="2" borderId="4" xfId="0" applyFill="1" applyBorder="1"/>
    <xf numFmtId="0" fontId="0" fillId="2" borderId="1" xfId="0" applyFill="1" applyBorder="1"/>
    <xf numFmtId="0" fontId="0" fillId="2" borderId="5" xfId="0" applyFill="1" applyBorder="1"/>
    <xf numFmtId="0" fontId="1" fillId="3" borderId="0" xfId="0" applyFont="1" applyFill="1"/>
    <xf numFmtId="0" fontId="0" fillId="3" borderId="0" xfId="0" applyFill="1"/>
    <xf numFmtId="0" fontId="0" fillId="4" borderId="0" xfId="0" applyFill="1" applyBorder="1"/>
    <xf numFmtId="0" fontId="0" fillId="4" borderId="4" xfId="0" applyFill="1" applyBorder="1"/>
    <xf numFmtId="0" fontId="0" fillId="4" borderId="6" xfId="0" applyFill="1" applyBorder="1"/>
    <xf numFmtId="0" fontId="0" fillId="4" borderId="7" xfId="0" applyFill="1" applyBorder="1"/>
    <xf numFmtId="10" fontId="0" fillId="5" borderId="2" xfId="0" applyNumberFormat="1" applyFill="1" applyBorder="1"/>
    <xf numFmtId="0" fontId="0" fillId="5" borderId="4" xfId="0" applyFill="1" applyBorder="1"/>
    <xf numFmtId="0" fontId="0" fillId="5" borderId="7" xfId="0" applyFill="1" applyBorder="1"/>
    <xf numFmtId="0" fontId="0" fillId="5" borderId="3" xfId="0" applyFill="1" applyBorder="1"/>
    <xf numFmtId="0" fontId="0" fillId="5" borderId="0" xfId="0" applyFill="1" applyBorder="1"/>
    <xf numFmtId="0" fontId="0" fillId="5" borderId="5" xfId="0" applyFill="1" applyBorder="1"/>
    <xf numFmtId="0" fontId="0" fillId="5" borderId="6" xfId="0" applyFill="1" applyBorder="1"/>
    <xf numFmtId="10" fontId="0" fillId="5" borderId="4" xfId="0" applyNumberFormat="1" applyFill="1" applyBorder="1"/>
    <xf numFmtId="2" fontId="0" fillId="5" borderId="3" xfId="0" applyNumberFormat="1" applyFill="1" applyBorder="1"/>
    <xf numFmtId="2" fontId="0" fillId="5" borderId="5" xfId="0" applyNumberFormat="1" applyFill="1" applyBorder="1"/>
    <xf numFmtId="0" fontId="0" fillId="2" borderId="8" xfId="0" applyFill="1" applyBorder="1"/>
    <xf numFmtId="0" fontId="0" fillId="2" borderId="2" xfId="0" applyFill="1" applyBorder="1"/>
    <xf numFmtId="164" fontId="0" fillId="5" borderId="0" xfId="0" applyNumberFormat="1" applyFill="1" applyBorder="1"/>
    <xf numFmtId="164" fontId="0" fillId="5" borderId="6" xfId="0" applyNumberFormat="1" applyFill="1" applyBorder="1"/>
    <xf numFmtId="14" fontId="0" fillId="5" borderId="2" xfId="0" applyNumberFormat="1" applyFill="1" applyBorder="1"/>
    <xf numFmtId="0" fontId="0" fillId="0" borderId="0" xfId="0" applyBorder="1"/>
    <xf numFmtId="164" fontId="0" fillId="6" borderId="0" xfId="0" applyNumberFormat="1" applyFill="1" applyBorder="1"/>
    <xf numFmtId="164" fontId="0" fillId="6" borderId="6" xfId="0" applyNumberFormat="1" applyFill="1" applyBorder="1"/>
    <xf numFmtId="0" fontId="0" fillId="7" borderId="0" xfId="0" applyFill="1" applyBorder="1"/>
    <xf numFmtId="0" fontId="0" fillId="7" borderId="4" xfId="0" applyFill="1" applyBorder="1"/>
    <xf numFmtId="0" fontId="0" fillId="7" borderId="6" xfId="0" applyFill="1" applyBorder="1"/>
    <xf numFmtId="0" fontId="0" fillId="7" borderId="7" xfId="0" applyFill="1" applyBorder="1"/>
    <xf numFmtId="166" fontId="0" fillId="4" borderId="4" xfId="0" applyNumberFormat="1" applyFill="1" applyBorder="1"/>
    <xf numFmtId="166" fontId="0" fillId="4" borderId="7" xfId="0" applyNumberFormat="1" applyFill="1" applyBorder="1"/>
    <xf numFmtId="167" fontId="0" fillId="5" borderId="3" xfId="0" applyNumberFormat="1" applyFill="1" applyBorder="1"/>
    <xf numFmtId="167" fontId="0" fillId="5" borderId="5" xfId="0" applyNumberFormat="1" applyFill="1" applyBorder="1"/>
    <xf numFmtId="165" fontId="0" fillId="5" borderId="4" xfId="0" applyNumberFormat="1" applyFill="1" applyBorder="1"/>
    <xf numFmtId="165" fontId="0" fillId="5" borderId="7" xfId="0" applyNumberFormat="1" applyFill="1" applyBorder="1"/>
    <xf numFmtId="165" fontId="0" fillId="5" borderId="0" xfId="0" applyNumberFormat="1" applyFill="1" applyBorder="1"/>
    <xf numFmtId="165" fontId="0" fillId="5" borderId="6" xfId="0" applyNumberFormat="1" applyFill="1" applyBorder="1"/>
    <xf numFmtId="0" fontId="0" fillId="8" borderId="0" xfId="0" applyFill="1"/>
    <xf numFmtId="168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cid:image002.jpg@01D07DD8.CC5D2A10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0</xdr:row>
      <xdr:rowOff>47625</xdr:rowOff>
    </xdr:from>
    <xdr:to>
      <xdr:col>18</xdr:col>
      <xdr:colOff>76200</xdr:colOff>
      <xdr:row>27</xdr:row>
      <xdr:rowOff>104775</xdr:rowOff>
    </xdr:to>
    <xdr:pic>
      <xdr:nvPicPr>
        <xdr:cNvPr id="2" name="Picture 1" descr="cid:image002.jpg@01D07DD8.CC5D2A10"/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" y="47625"/>
          <a:ext cx="10868025" cy="5200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31"/>
  <sheetViews>
    <sheetView topLeftCell="A4" workbookViewId="0">
      <selection activeCell="D35" sqref="D35:D36"/>
    </sheetView>
  </sheetViews>
  <sheetFormatPr defaultRowHeight="15" x14ac:dyDescent="0.25"/>
  <cols>
    <col min="2" max="8" width="18.28515625" customWidth="1"/>
    <col min="10" max="10" width="16" hidden="1" customWidth="1"/>
    <col min="11" max="11" width="17" customWidth="1"/>
  </cols>
  <sheetData>
    <row r="1" spans="1:10" x14ac:dyDescent="0.25">
      <c r="A1" s="8"/>
      <c r="B1" s="9"/>
      <c r="C1" s="9"/>
      <c r="D1" s="9"/>
      <c r="E1" s="9"/>
      <c r="F1" s="9"/>
      <c r="G1" s="9"/>
      <c r="H1" s="9"/>
      <c r="I1" s="9"/>
    </row>
    <row r="2" spans="1:10" x14ac:dyDescent="0.25">
      <c r="A2" s="8"/>
      <c r="B2" s="9"/>
      <c r="C2" s="9"/>
      <c r="D2" s="9"/>
      <c r="E2" s="9"/>
      <c r="F2" s="9"/>
      <c r="G2" s="9"/>
      <c r="H2" s="9"/>
      <c r="I2" s="9"/>
    </row>
    <row r="3" spans="1:10" x14ac:dyDescent="0.25">
      <c r="A3" s="8"/>
      <c r="B3" s="6" t="s">
        <v>10</v>
      </c>
      <c r="C3" s="28">
        <v>41934</v>
      </c>
      <c r="D3" s="9"/>
      <c r="E3" s="9"/>
      <c r="F3" s="9"/>
      <c r="G3" s="9"/>
      <c r="H3" s="9"/>
      <c r="I3" s="9"/>
    </row>
    <row r="4" spans="1:10" x14ac:dyDescent="0.25">
      <c r="A4" s="8"/>
      <c r="B4" s="3" t="s">
        <v>4</v>
      </c>
      <c r="C4" s="21">
        <v>0.4</v>
      </c>
      <c r="D4" s="9"/>
      <c r="E4" s="9"/>
      <c r="F4" s="9"/>
      <c r="G4" s="9"/>
      <c r="H4" s="9"/>
      <c r="I4" s="9"/>
    </row>
    <row r="5" spans="1:10" x14ac:dyDescent="0.25">
      <c r="A5" s="8"/>
      <c r="B5" s="7" t="s">
        <v>5</v>
      </c>
      <c r="C5" s="16" t="b">
        <v>1</v>
      </c>
      <c r="D5" s="9"/>
      <c r="E5" s="9"/>
      <c r="F5" s="9"/>
      <c r="G5" s="9"/>
      <c r="H5" s="9"/>
      <c r="I5" s="9"/>
    </row>
    <row r="6" spans="1:10" x14ac:dyDescent="0.25">
      <c r="A6" s="8"/>
      <c r="B6" s="9"/>
      <c r="C6" s="9"/>
      <c r="D6" s="9"/>
      <c r="E6" s="9"/>
      <c r="F6" s="9"/>
      <c r="G6" s="9"/>
      <c r="H6" s="9"/>
      <c r="I6" s="9"/>
    </row>
    <row r="7" spans="1:10" x14ac:dyDescent="0.25">
      <c r="A7" s="8"/>
      <c r="B7" s="6" t="s">
        <v>9</v>
      </c>
      <c r="C7" s="24" t="s">
        <v>1</v>
      </c>
      <c r="D7" s="24" t="s">
        <v>11</v>
      </c>
      <c r="E7" s="24" t="s">
        <v>2</v>
      </c>
      <c r="F7" s="24" t="s">
        <v>3</v>
      </c>
      <c r="G7" s="24" t="s">
        <v>12</v>
      </c>
      <c r="H7" s="25" t="s">
        <v>13</v>
      </c>
      <c r="I7" s="9"/>
    </row>
    <row r="8" spans="1:10" x14ac:dyDescent="0.25">
      <c r="A8" s="8"/>
      <c r="B8" s="22">
        <v>0.5</v>
      </c>
      <c r="C8" s="26">
        <v>5.0000000000000001E-4</v>
      </c>
      <c r="D8" s="30">
        <f t="array" ref="D8:H18">_xll.BuildCreditCurve(C3,B8:B18,C8:C18,C4,C5,B23:B30,C23:C30)</f>
        <v>0.66301369863013704</v>
      </c>
      <c r="E8" s="10">
        <v>0.99937061840358177</v>
      </c>
      <c r="F8" s="10">
        <v>9.4957274858578947E-4</v>
      </c>
      <c r="G8" s="32">
        <v>3.7728301238521391E-4</v>
      </c>
      <c r="H8" s="33">
        <v>3.7728321665249603E-4</v>
      </c>
      <c r="I8" s="9"/>
      <c r="J8">
        <f>EXP(-F8*D8)</f>
        <v>0.99937061840358177</v>
      </c>
    </row>
    <row r="9" spans="1:10" x14ac:dyDescent="0.25">
      <c r="A9" s="8"/>
      <c r="B9" s="22">
        <v>1</v>
      </c>
      <c r="C9" s="26">
        <v>8.0000000000000004E-4</v>
      </c>
      <c r="D9" s="30">
        <v>1.1643835616438356</v>
      </c>
      <c r="E9" s="10">
        <v>0.99831563705360538</v>
      </c>
      <c r="F9" s="10">
        <v>2.106635077864748E-3</v>
      </c>
      <c r="G9" s="32">
        <v>1.0087080423829551E-3</v>
      </c>
      <c r="H9" s="33">
        <v>1.0087080423830102E-3</v>
      </c>
      <c r="I9" s="9"/>
      <c r="J9">
        <f>E8*EXP(-F9*(D9-D8))</f>
        <v>0.99831563705360549</v>
      </c>
    </row>
    <row r="10" spans="1:10" x14ac:dyDescent="0.25">
      <c r="A10" s="8"/>
      <c r="B10" s="22">
        <v>2</v>
      </c>
      <c r="C10" s="26">
        <v>1E-3</v>
      </c>
      <c r="D10" s="30">
        <v>2.1671232876712327</v>
      </c>
      <c r="E10" s="10">
        <v>0.99620362779932736</v>
      </c>
      <c r="F10" s="10">
        <v>2.1120272554253179E-3</v>
      </c>
      <c r="G10" s="32">
        <v>2.2660181998170382E-3</v>
      </c>
      <c r="H10" s="33">
        <v>2.2660181998162246E-3</v>
      </c>
      <c r="I10" s="9"/>
      <c r="J10">
        <f>E9*EXP(-F10*(D10-D9))</f>
        <v>0.99620362779932736</v>
      </c>
    </row>
    <row r="11" spans="1:10" x14ac:dyDescent="0.25">
      <c r="A11" s="8"/>
      <c r="B11" s="22">
        <v>3</v>
      </c>
      <c r="C11" s="26">
        <v>2E-3</v>
      </c>
      <c r="D11" s="30">
        <v>3.1671232876712327</v>
      </c>
      <c r="E11" s="10">
        <v>0.98899219331450361</v>
      </c>
      <c r="F11" s="10">
        <v>7.2652441926962111E-3</v>
      </c>
      <c r="G11" s="32">
        <v>6.4970066746132919E-3</v>
      </c>
      <c r="H11" s="33">
        <v>6.4970066733371626E-3</v>
      </c>
      <c r="I11" s="9"/>
      <c r="J11">
        <f t="shared" ref="J11:J17" si="0">E10*EXP(-F11*(D11-D10))</f>
        <v>0.98899219331450361</v>
      </c>
    </row>
    <row r="12" spans="1:10" x14ac:dyDescent="0.25">
      <c r="A12" s="8"/>
      <c r="B12" s="22">
        <v>4</v>
      </c>
      <c r="C12" s="26">
        <v>3.0000000000000001E-3</v>
      </c>
      <c r="D12" s="30">
        <v>4.1671232876712327</v>
      </c>
      <c r="E12" s="10">
        <v>0.97834800812246714</v>
      </c>
      <c r="F12" s="10">
        <v>1.0820994811350805E-2</v>
      </c>
      <c r="G12" s="32">
        <v>1.2596476291425397E-2</v>
      </c>
      <c r="H12" s="33">
        <v>1.2596476277997306E-2</v>
      </c>
      <c r="I12" s="9"/>
      <c r="J12">
        <f t="shared" si="0"/>
        <v>0.97834800812246714</v>
      </c>
    </row>
    <row r="13" spans="1:10" x14ac:dyDescent="0.25">
      <c r="A13" s="8"/>
      <c r="B13" s="22">
        <v>5</v>
      </c>
      <c r="C13" s="26">
        <v>5.0000000000000001E-3</v>
      </c>
      <c r="D13" s="30">
        <v>5.1671232876712327</v>
      </c>
      <c r="E13" s="10">
        <v>0.9551026021749226</v>
      </c>
      <c r="F13" s="10">
        <v>2.4046671723868492E-2</v>
      </c>
      <c r="G13" s="32">
        <v>2.5525696683620779E-2</v>
      </c>
      <c r="H13" s="33">
        <v>2.5525696683674107E-2</v>
      </c>
      <c r="I13" s="9"/>
      <c r="J13">
        <f t="shared" si="0"/>
        <v>0.95510260217492271</v>
      </c>
    </row>
    <row r="14" spans="1:10" x14ac:dyDescent="0.25">
      <c r="A14" s="8"/>
      <c r="B14" s="22">
        <v>7</v>
      </c>
      <c r="C14" s="26">
        <v>7.0000000000000001E-3</v>
      </c>
      <c r="D14" s="30">
        <v>7.1698630136986301</v>
      </c>
      <c r="E14" s="10">
        <v>0.91395407226936731</v>
      </c>
      <c r="F14" s="10">
        <v>2.1989103195233197E-2</v>
      </c>
      <c r="G14" s="32">
        <v>4.7572014639302725E-2</v>
      </c>
      <c r="H14" s="33">
        <v>4.7572014639302725E-2</v>
      </c>
      <c r="I14" s="9"/>
      <c r="J14">
        <f t="shared" si="0"/>
        <v>0.9139540722693672</v>
      </c>
    </row>
    <row r="15" spans="1:10" x14ac:dyDescent="0.25">
      <c r="A15" s="8"/>
      <c r="B15" s="22">
        <v>10</v>
      </c>
      <c r="C15" s="26">
        <v>8.0000000000000002E-3</v>
      </c>
      <c r="D15" s="30">
        <v>10.172602739726027</v>
      </c>
      <c r="E15" s="10">
        <v>0.86442101193233167</v>
      </c>
      <c r="F15" s="10">
        <v>1.8556516271036431E-2</v>
      </c>
      <c r="G15" s="32">
        <v>7.2449753929578101E-2</v>
      </c>
      <c r="H15" s="33">
        <v>7.2449753929665447E-2</v>
      </c>
      <c r="I15" s="9"/>
      <c r="J15">
        <f t="shared" si="0"/>
        <v>0.86442101193233167</v>
      </c>
    </row>
    <row r="16" spans="1:10" x14ac:dyDescent="0.25">
      <c r="A16" s="8"/>
      <c r="B16" s="22">
        <v>15</v>
      </c>
      <c r="C16" s="26">
        <v>8.9999999999999993E-3</v>
      </c>
      <c r="D16" s="30">
        <v>15.175342465753424</v>
      </c>
      <c r="E16" s="10">
        <v>0.78187260732281427</v>
      </c>
      <c r="F16" s="10">
        <v>2.0062629060961533E-2</v>
      </c>
      <c r="G16" s="32">
        <v>0.10960610609656729</v>
      </c>
      <c r="H16" s="33">
        <v>0.10960610609656767</v>
      </c>
      <c r="I16" s="9"/>
      <c r="J16">
        <f t="shared" si="0"/>
        <v>0.78187260732281427</v>
      </c>
    </row>
    <row r="17" spans="1:10" x14ac:dyDescent="0.25">
      <c r="A17" s="8"/>
      <c r="B17" s="22">
        <v>20</v>
      </c>
      <c r="C17" s="26">
        <v>1.2E-2</v>
      </c>
      <c r="D17" s="30">
        <v>20.17808219178082</v>
      </c>
      <c r="E17" s="10">
        <v>0.616741154324842</v>
      </c>
      <c r="F17" s="10">
        <v>4.7422496696534748E-2</v>
      </c>
      <c r="G17" s="32">
        <v>0.17329683401616772</v>
      </c>
      <c r="H17" s="33">
        <v>0.17329683401638679</v>
      </c>
      <c r="I17" s="9"/>
      <c r="J17">
        <f t="shared" si="0"/>
        <v>0.61674115432484211</v>
      </c>
    </row>
    <row r="18" spans="1:10" x14ac:dyDescent="0.25">
      <c r="A18" s="8"/>
      <c r="B18" s="23">
        <v>30</v>
      </c>
      <c r="C18" s="27">
        <v>1.4999999999999999E-2</v>
      </c>
      <c r="D18" s="31">
        <v>30.186301369863013</v>
      </c>
      <c r="E18" s="12">
        <v>0.35016285476025039</v>
      </c>
      <c r="F18" s="12">
        <v>5.6558620195490912E-2</v>
      </c>
      <c r="G18" s="34">
        <v>0.25158326704586864</v>
      </c>
      <c r="H18" s="35">
        <v>0.25158326704377065</v>
      </c>
      <c r="I18" s="9"/>
      <c r="J18">
        <f>E17*EXP(-F18*(D18-D17))</f>
        <v>0.35016285476025033</v>
      </c>
    </row>
    <row r="19" spans="1:10" x14ac:dyDescent="0.25">
      <c r="A19" s="8"/>
      <c r="B19" s="9"/>
      <c r="C19" s="9"/>
      <c r="D19" s="9"/>
      <c r="E19" s="9"/>
      <c r="F19" s="9"/>
      <c r="G19" s="9"/>
      <c r="H19" s="9"/>
      <c r="I19" s="9"/>
    </row>
    <row r="20" spans="1:10" x14ac:dyDescent="0.25">
      <c r="A20" s="8"/>
      <c r="B20" s="9"/>
      <c r="C20" s="9"/>
      <c r="D20" s="9"/>
      <c r="E20" s="9"/>
      <c r="F20" s="9"/>
      <c r="G20" s="9"/>
      <c r="H20" s="9"/>
      <c r="I20" s="9"/>
    </row>
    <row r="21" spans="1:10" x14ac:dyDescent="0.25">
      <c r="A21" s="8"/>
      <c r="B21" s="1" t="s">
        <v>8</v>
      </c>
      <c r="C21" s="2"/>
      <c r="D21" s="29"/>
      <c r="E21" s="9"/>
      <c r="F21" s="9"/>
      <c r="G21" s="9"/>
      <c r="H21" s="9"/>
      <c r="I21" s="9"/>
    </row>
    <row r="22" spans="1:10" x14ac:dyDescent="0.25">
      <c r="A22" s="8"/>
      <c r="B22" s="3" t="s">
        <v>0</v>
      </c>
      <c r="C22" s="5" t="s">
        <v>7</v>
      </c>
      <c r="D22" s="29"/>
      <c r="E22" s="9"/>
      <c r="F22" s="9"/>
      <c r="G22" s="9"/>
      <c r="H22" s="9"/>
      <c r="I22" s="9"/>
    </row>
    <row r="23" spans="1:10" x14ac:dyDescent="0.25">
      <c r="A23" s="8"/>
      <c r="B23" s="22">
        <v>1</v>
      </c>
      <c r="C23" s="15">
        <v>2.4565219656374E-3</v>
      </c>
      <c r="D23" s="29"/>
      <c r="E23" s="9"/>
      <c r="F23" s="9"/>
      <c r="G23" s="9"/>
      <c r="H23" s="9"/>
      <c r="I23" s="9"/>
    </row>
    <row r="24" spans="1:10" x14ac:dyDescent="0.25">
      <c r="A24" s="8"/>
      <c r="B24" s="22">
        <v>2</v>
      </c>
      <c r="C24" s="15">
        <v>5.2377772807599204E-3</v>
      </c>
      <c r="D24" s="29"/>
      <c r="E24" s="9"/>
      <c r="F24" s="9"/>
      <c r="G24" s="9"/>
      <c r="H24" s="9"/>
      <c r="I24" s="9"/>
    </row>
    <row r="25" spans="1:10" x14ac:dyDescent="0.25">
      <c r="A25" s="8"/>
      <c r="B25" s="22">
        <v>3</v>
      </c>
      <c r="C25" s="15">
        <v>9.3522533771181297E-3</v>
      </c>
      <c r="D25" s="29"/>
      <c r="E25" s="9"/>
      <c r="F25" s="9"/>
      <c r="G25" s="9"/>
      <c r="H25" s="9"/>
      <c r="I25" s="9"/>
    </row>
    <row r="26" spans="1:10" x14ac:dyDescent="0.25">
      <c r="A26" s="8"/>
      <c r="B26" s="22">
        <v>4</v>
      </c>
      <c r="C26" s="15">
        <v>1.3560111262527701E-2</v>
      </c>
      <c r="D26" s="29"/>
      <c r="E26" s="9"/>
      <c r="F26" s="9"/>
      <c r="G26" s="9"/>
      <c r="H26" s="9"/>
      <c r="I26" s="9"/>
    </row>
    <row r="27" spans="1:10" x14ac:dyDescent="0.25">
      <c r="A27" s="8"/>
      <c r="B27" s="22">
        <v>5</v>
      </c>
      <c r="C27" s="15">
        <v>1.7167622591413599E-2</v>
      </c>
      <c r="D27" s="29"/>
      <c r="E27" s="9"/>
      <c r="F27" s="9"/>
      <c r="G27" s="9"/>
      <c r="H27" s="9"/>
      <c r="I27" s="9"/>
    </row>
    <row r="28" spans="1:10" x14ac:dyDescent="0.25">
      <c r="A28" s="8"/>
      <c r="B28" s="22">
        <v>10</v>
      </c>
      <c r="C28" s="15">
        <v>2.1545000000000002E-2</v>
      </c>
      <c r="D28" s="29"/>
      <c r="E28" s="9"/>
      <c r="F28" s="9"/>
      <c r="G28" s="9"/>
      <c r="H28" s="9"/>
      <c r="I28" s="9"/>
    </row>
    <row r="29" spans="1:10" x14ac:dyDescent="0.25">
      <c r="A29" s="8"/>
      <c r="B29" s="22">
        <v>15</v>
      </c>
      <c r="C29" s="15">
        <v>2.3654853999999999E-2</v>
      </c>
      <c r="D29" s="29"/>
      <c r="E29" s="9"/>
      <c r="F29" s="9"/>
      <c r="G29" s="9"/>
      <c r="H29" s="9"/>
      <c r="I29" s="9"/>
    </row>
    <row r="30" spans="1:10" x14ac:dyDescent="0.25">
      <c r="A30" s="8"/>
      <c r="B30" s="23">
        <v>30</v>
      </c>
      <c r="C30" s="16">
        <v>3.1847687399999998E-2</v>
      </c>
      <c r="D30" s="29"/>
      <c r="E30" s="9"/>
      <c r="F30" s="9"/>
      <c r="G30" s="9"/>
      <c r="H30" s="9"/>
      <c r="I30" s="9"/>
    </row>
    <row r="31" spans="1:10" x14ac:dyDescent="0.25">
      <c r="A31" s="8"/>
      <c r="B31" s="9"/>
      <c r="C31" s="9"/>
      <c r="D31" s="9"/>
      <c r="E31" s="9"/>
      <c r="F31" s="9"/>
      <c r="G31" s="9"/>
      <c r="H31" s="9"/>
      <c r="I31" s="9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25"/>
  <sheetViews>
    <sheetView workbookViewId="0">
      <selection activeCell="D29" sqref="D29"/>
    </sheetView>
  </sheetViews>
  <sheetFormatPr defaultRowHeight="15" x14ac:dyDescent="0.25"/>
  <cols>
    <col min="2" max="5" width="18.28515625" customWidth="1"/>
  </cols>
  <sheetData>
    <row r="1" spans="1:6" x14ac:dyDescent="0.25">
      <c r="A1" s="8"/>
      <c r="B1" s="9"/>
      <c r="C1" s="9"/>
      <c r="D1" s="9"/>
      <c r="E1" s="9"/>
      <c r="F1" s="9"/>
    </row>
    <row r="2" spans="1:6" x14ac:dyDescent="0.25">
      <c r="A2" s="8"/>
      <c r="B2" s="9"/>
      <c r="C2" s="9"/>
      <c r="D2" s="9"/>
      <c r="E2" s="9"/>
      <c r="F2" s="9"/>
    </row>
    <row r="3" spans="1:6" x14ac:dyDescent="0.25">
      <c r="A3" s="8"/>
      <c r="B3" s="6" t="s">
        <v>4</v>
      </c>
      <c r="C3" s="14">
        <v>0.4</v>
      </c>
      <c r="D3" s="9"/>
      <c r="E3" s="9"/>
      <c r="F3" s="9"/>
    </row>
    <row r="4" spans="1:6" x14ac:dyDescent="0.25">
      <c r="A4" s="8"/>
      <c r="B4" s="3" t="s">
        <v>6</v>
      </c>
      <c r="C4" s="15">
        <v>12</v>
      </c>
      <c r="D4" s="9"/>
      <c r="E4" s="9"/>
      <c r="F4" s="9"/>
    </row>
    <row r="5" spans="1:6" x14ac:dyDescent="0.25">
      <c r="A5" s="8"/>
      <c r="B5" s="7" t="s">
        <v>5</v>
      </c>
      <c r="C5" s="16" t="b">
        <v>1</v>
      </c>
      <c r="D5" s="9"/>
      <c r="E5" s="9"/>
      <c r="F5" s="9"/>
    </row>
    <row r="6" spans="1:6" x14ac:dyDescent="0.25">
      <c r="A6" s="8"/>
      <c r="B6" s="9"/>
      <c r="C6" s="9"/>
      <c r="D6" s="9"/>
      <c r="E6" s="9"/>
      <c r="F6" s="9"/>
    </row>
    <row r="7" spans="1:6" x14ac:dyDescent="0.25">
      <c r="A7" s="8"/>
      <c r="B7" s="3" t="s">
        <v>9</v>
      </c>
      <c r="C7" s="4" t="s">
        <v>1</v>
      </c>
      <c r="D7" s="4" t="s">
        <v>2</v>
      </c>
      <c r="E7" s="5" t="s">
        <v>3</v>
      </c>
      <c r="F7" s="9"/>
    </row>
    <row r="8" spans="1:6" x14ac:dyDescent="0.25">
      <c r="A8" s="8"/>
      <c r="B8" s="17">
        <v>0.5</v>
      </c>
      <c r="C8" s="18">
        <v>2.8999999999999998E-3</v>
      </c>
      <c r="D8" s="10">
        <f t="array" ref="D8:E15">_xll.BuildCreditCurveNonStandard(B8:B15,C8:C15,C3,C4,C5,B20:B24,C20:C24)</f>
        <v>0.99758674446601181</v>
      </c>
      <c r="E8" s="11">
        <v>4.8323442567885433E-3</v>
      </c>
      <c r="F8" s="9"/>
    </row>
    <row r="9" spans="1:6" x14ac:dyDescent="0.25">
      <c r="A9" s="8"/>
      <c r="B9" s="17">
        <v>1</v>
      </c>
      <c r="C9" s="18">
        <v>5.7000000000000002E-3</v>
      </c>
      <c r="D9" s="10">
        <v>0.99053303976650198</v>
      </c>
      <c r="E9" s="11">
        <v>1.4191769233472326E-2</v>
      </c>
      <c r="F9" s="9"/>
    </row>
    <row r="10" spans="1:6" x14ac:dyDescent="0.25">
      <c r="A10" s="8"/>
      <c r="B10" s="17">
        <v>2</v>
      </c>
      <c r="C10" s="18">
        <v>5.7999999999999996E-3</v>
      </c>
      <c r="D10" s="10">
        <v>0.98084452659142252</v>
      </c>
      <c r="E10" s="11">
        <v>9.8292598479443345E-3</v>
      </c>
      <c r="F10" s="9"/>
    </row>
    <row r="11" spans="1:6" x14ac:dyDescent="0.25">
      <c r="A11" s="8"/>
      <c r="B11" s="17">
        <v>3</v>
      </c>
      <c r="C11" s="18">
        <v>4.7999999999999996E-3</v>
      </c>
      <c r="D11" s="10">
        <v>0.97638095867099461</v>
      </c>
      <c r="E11" s="11">
        <v>4.5611256263773598E-3</v>
      </c>
      <c r="F11" s="9"/>
    </row>
    <row r="12" spans="1:6" x14ac:dyDescent="0.25">
      <c r="A12" s="8"/>
      <c r="B12" s="17">
        <v>4</v>
      </c>
      <c r="C12" s="18">
        <v>5.7000000000000002E-3</v>
      </c>
      <c r="D12" s="10">
        <v>0.96260684814337005</v>
      </c>
      <c r="E12" s="11">
        <v>1.4207765703970329E-2</v>
      </c>
      <c r="F12" s="9"/>
    </row>
    <row r="13" spans="1:6" x14ac:dyDescent="0.25">
      <c r="A13" s="8"/>
      <c r="B13" s="17">
        <v>5</v>
      </c>
      <c r="C13" s="18">
        <v>5.7000000000000002E-3</v>
      </c>
      <c r="D13" s="10">
        <v>0.95410361705088287</v>
      </c>
      <c r="E13" s="11">
        <v>8.8727922475376822E-3</v>
      </c>
      <c r="F13" s="9"/>
    </row>
    <row r="14" spans="1:6" x14ac:dyDescent="0.25">
      <c r="A14" s="8"/>
      <c r="B14" s="17">
        <v>7</v>
      </c>
      <c r="C14" s="18">
        <v>5.7000000000000002E-3</v>
      </c>
      <c r="D14" s="10">
        <v>0.93640078409582006</v>
      </c>
      <c r="E14" s="11">
        <v>9.3643529217023857E-3</v>
      </c>
      <c r="F14" s="9"/>
    </row>
    <row r="15" spans="1:6" x14ac:dyDescent="0.25">
      <c r="A15" s="8"/>
      <c r="B15" s="19">
        <v>10</v>
      </c>
      <c r="C15" s="20">
        <v>5.7000000000000002E-3</v>
      </c>
      <c r="D15" s="12">
        <v>0.91046049884744762</v>
      </c>
      <c r="E15" s="13">
        <v>9.3643529212653377E-3</v>
      </c>
      <c r="F15" s="9"/>
    </row>
    <row r="16" spans="1:6" x14ac:dyDescent="0.25">
      <c r="A16" s="8"/>
      <c r="B16" s="9"/>
      <c r="C16" s="9"/>
      <c r="D16" s="9"/>
      <c r="E16" s="9"/>
      <c r="F16" s="9"/>
    </row>
    <row r="17" spans="1:6" x14ac:dyDescent="0.25">
      <c r="A17" s="8"/>
      <c r="B17" s="9"/>
      <c r="C17" s="9"/>
      <c r="D17" s="9"/>
      <c r="E17" s="9"/>
      <c r="F17" s="9"/>
    </row>
    <row r="18" spans="1:6" x14ac:dyDescent="0.25">
      <c r="A18" s="8"/>
      <c r="B18" s="1" t="s">
        <v>8</v>
      </c>
      <c r="C18" s="2"/>
      <c r="D18" s="9"/>
      <c r="E18" s="9"/>
      <c r="F18" s="9"/>
    </row>
    <row r="19" spans="1:6" x14ac:dyDescent="0.25">
      <c r="A19" s="8"/>
      <c r="B19" s="3" t="s">
        <v>0</v>
      </c>
      <c r="C19" s="5" t="s">
        <v>7</v>
      </c>
      <c r="D19" s="9"/>
      <c r="E19" s="9"/>
      <c r="F19" s="9"/>
    </row>
    <row r="20" spans="1:6" x14ac:dyDescent="0.25">
      <c r="A20" s="8"/>
      <c r="B20" s="17">
        <v>1</v>
      </c>
      <c r="C20" s="15">
        <v>2.4565219656374E-3</v>
      </c>
      <c r="D20" s="9"/>
      <c r="E20" s="9"/>
      <c r="F20" s="9"/>
    </row>
    <row r="21" spans="1:6" x14ac:dyDescent="0.25">
      <c r="A21" s="8"/>
      <c r="B21" s="17">
        <v>2</v>
      </c>
      <c r="C21" s="15">
        <v>5.2377772807599204E-3</v>
      </c>
      <c r="D21" s="9"/>
      <c r="E21" s="9"/>
      <c r="F21" s="9"/>
    </row>
    <row r="22" spans="1:6" x14ac:dyDescent="0.25">
      <c r="A22" s="8"/>
      <c r="B22" s="17">
        <v>3</v>
      </c>
      <c r="C22" s="15">
        <v>9.3522533771181297E-3</v>
      </c>
      <c r="D22" s="9"/>
      <c r="E22" s="9"/>
      <c r="F22" s="9"/>
    </row>
    <row r="23" spans="1:6" x14ac:dyDescent="0.25">
      <c r="A23" s="8"/>
      <c r="B23" s="17">
        <v>4</v>
      </c>
      <c r="C23" s="15">
        <v>1.3560111262527701E-2</v>
      </c>
      <c r="D23" s="9"/>
      <c r="E23" s="9"/>
      <c r="F23" s="9"/>
    </row>
    <row r="24" spans="1:6" x14ac:dyDescent="0.25">
      <c r="A24" s="8"/>
      <c r="B24" s="19">
        <v>5</v>
      </c>
      <c r="C24" s="16">
        <v>0.171676225914136</v>
      </c>
      <c r="D24" s="9"/>
      <c r="E24" s="9"/>
      <c r="F24" s="9"/>
    </row>
    <row r="25" spans="1:6" x14ac:dyDescent="0.25">
      <c r="A25" s="8"/>
      <c r="B25" s="9"/>
      <c r="C25" s="9"/>
      <c r="D25" s="9"/>
      <c r="E25" s="9"/>
      <c r="F25" s="9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P31"/>
  <sheetViews>
    <sheetView tabSelected="1" topLeftCell="C1" workbookViewId="0">
      <selection activeCell="L28" sqref="L28"/>
    </sheetView>
  </sheetViews>
  <sheetFormatPr defaultRowHeight="15" x14ac:dyDescent="0.25"/>
  <cols>
    <col min="2" max="4" width="18.28515625" customWidth="1"/>
    <col min="5" max="5" width="8.85546875" customWidth="1"/>
    <col min="6" max="7" width="18.28515625" customWidth="1"/>
    <col min="10" max="10" width="12" bestFit="1" customWidth="1"/>
  </cols>
  <sheetData>
    <row r="2" spans="1:16" x14ac:dyDescent="0.25">
      <c r="A2" s="8"/>
      <c r="B2" s="9"/>
      <c r="C2" s="9"/>
      <c r="D2" s="9"/>
      <c r="E2" s="9"/>
      <c r="F2" s="9"/>
      <c r="G2" s="9"/>
      <c r="H2" s="9"/>
    </row>
    <row r="3" spans="1:16" x14ac:dyDescent="0.25">
      <c r="A3" s="8"/>
      <c r="B3" s="6" t="s">
        <v>10</v>
      </c>
      <c r="C3" s="28">
        <v>41934</v>
      </c>
      <c r="D3" s="9"/>
      <c r="E3" s="9"/>
      <c r="F3" s="9"/>
      <c r="G3" s="9"/>
      <c r="H3" s="9"/>
    </row>
    <row r="4" spans="1:16" x14ac:dyDescent="0.25">
      <c r="A4" s="8"/>
      <c r="B4" s="3" t="s">
        <v>4</v>
      </c>
      <c r="C4" s="21">
        <v>0.4</v>
      </c>
      <c r="D4" s="9"/>
      <c r="E4" s="9"/>
      <c r="F4" s="9"/>
      <c r="G4" s="9"/>
      <c r="H4" s="9"/>
    </row>
    <row r="5" spans="1:16" x14ac:dyDescent="0.25">
      <c r="A5" s="8"/>
      <c r="B5" s="7" t="s">
        <v>5</v>
      </c>
      <c r="C5" s="16" t="b">
        <v>1</v>
      </c>
      <c r="D5" s="9"/>
      <c r="E5" s="9"/>
      <c r="F5" s="9"/>
      <c r="G5" s="9"/>
      <c r="H5" s="9"/>
    </row>
    <row r="6" spans="1:16" x14ac:dyDescent="0.25">
      <c r="A6" s="8"/>
      <c r="B6" s="9"/>
      <c r="C6" s="9"/>
      <c r="D6" s="9"/>
      <c r="E6" s="9"/>
      <c r="F6" s="9"/>
      <c r="G6" s="9"/>
      <c r="H6" s="9"/>
      <c r="J6" s="44" t="s">
        <v>17</v>
      </c>
      <c r="K6" s="44" t="s">
        <v>18</v>
      </c>
      <c r="L6" s="44" t="s">
        <v>19</v>
      </c>
      <c r="M6" s="44" t="s">
        <v>20</v>
      </c>
      <c r="N6" s="44" t="s">
        <v>21</v>
      </c>
      <c r="O6" s="44" t="s">
        <v>23</v>
      </c>
      <c r="P6" s="44" t="s">
        <v>22</v>
      </c>
    </row>
    <row r="7" spans="1:16" x14ac:dyDescent="0.25">
      <c r="A7" s="8"/>
      <c r="B7" s="6" t="s">
        <v>15</v>
      </c>
      <c r="C7" s="24" t="s">
        <v>2</v>
      </c>
      <c r="D7" s="25" t="s">
        <v>3</v>
      </c>
      <c r="E7" s="9"/>
      <c r="F7" s="6" t="s">
        <v>11</v>
      </c>
      <c r="G7" s="25" t="s">
        <v>14</v>
      </c>
      <c r="H7" s="9"/>
      <c r="J7">
        <v>0.99999879999999997</v>
      </c>
      <c r="K7">
        <v>0.99809199999999998</v>
      </c>
      <c r="L7">
        <v>0.99687479999999995</v>
      </c>
      <c r="M7">
        <v>0.9977549</v>
      </c>
      <c r="N7">
        <v>0.97919179999999995</v>
      </c>
      <c r="O7">
        <v>0.89064279999999996</v>
      </c>
      <c r="P7">
        <v>0.54275899999999999</v>
      </c>
    </row>
    <row r="8" spans="1:16" x14ac:dyDescent="0.25">
      <c r="A8" s="8"/>
      <c r="B8" s="38">
        <v>1</v>
      </c>
      <c r="C8" s="42">
        <v>0.54275899999999999</v>
      </c>
      <c r="D8" s="40"/>
      <c r="E8" s="9"/>
      <c r="F8" s="38">
        <v>1</v>
      </c>
      <c r="G8" s="36">
        <f t="array" ref="G8:G11">_xll.PriceCreditDefaultSwaps(C3,B8:B12,C8:C12,D8:D12,C4,C5,B17:B24,C17:C24,F8:F11)</f>
        <v>0.29609599777975149</v>
      </c>
      <c r="H8" s="9"/>
      <c r="J8">
        <v>0.99952039999999998</v>
      </c>
      <c r="K8">
        <v>0.98748809999999998</v>
      </c>
      <c r="L8">
        <v>0.98377360000000003</v>
      </c>
      <c r="M8">
        <v>0.97934679999999996</v>
      </c>
      <c r="N8">
        <v>0.91776749999999996</v>
      </c>
      <c r="O8">
        <v>0.79670649999999998</v>
      </c>
      <c r="P8">
        <v>0.51344520000000005</v>
      </c>
    </row>
    <row r="9" spans="1:16" x14ac:dyDescent="0.25">
      <c r="A9" s="8"/>
      <c r="B9" s="38">
        <v>3</v>
      </c>
      <c r="C9" s="42">
        <v>0.51344520000000005</v>
      </c>
      <c r="D9" s="40"/>
      <c r="E9" s="9"/>
      <c r="F9" s="38">
        <v>3</v>
      </c>
      <c r="G9" s="36">
        <v>0.14680330243028905</v>
      </c>
      <c r="H9" s="9"/>
      <c r="J9">
        <v>0.99253599999999997</v>
      </c>
      <c r="K9">
        <v>0.96807509999999997</v>
      </c>
      <c r="L9">
        <v>0.9561499</v>
      </c>
      <c r="M9">
        <v>0.92831319999999995</v>
      </c>
      <c r="N9">
        <v>0.83856580000000003</v>
      </c>
      <c r="O9">
        <v>0.71858770000000005</v>
      </c>
      <c r="P9">
        <v>0.49245749999999999</v>
      </c>
    </row>
    <row r="10" spans="1:16" x14ac:dyDescent="0.25">
      <c r="A10" s="8"/>
      <c r="B10" s="38">
        <v>5</v>
      </c>
      <c r="C10" s="42">
        <v>0.49245749999999999</v>
      </c>
      <c r="D10" s="40"/>
      <c r="E10" s="9"/>
      <c r="F10" s="38">
        <v>5</v>
      </c>
      <c r="G10" s="36">
        <v>0.10307037904020788</v>
      </c>
      <c r="H10" s="9"/>
      <c r="J10">
        <v>0.96705019999999997</v>
      </c>
      <c r="K10">
        <v>0.9205972</v>
      </c>
      <c r="L10">
        <v>0.88750479999999998</v>
      </c>
      <c r="M10">
        <v>0.78649760000000002</v>
      </c>
      <c r="N10">
        <v>0.67516799999999999</v>
      </c>
      <c r="O10">
        <v>0.51390740000000001</v>
      </c>
      <c r="P10">
        <v>0.29246729999999999</v>
      </c>
    </row>
    <row r="11" spans="1:16" x14ac:dyDescent="0.25">
      <c r="A11" s="8"/>
      <c r="B11" s="38">
        <v>10</v>
      </c>
      <c r="C11" s="42">
        <v>0.29246729999999999</v>
      </c>
      <c r="D11" s="40"/>
      <c r="E11" s="9"/>
      <c r="F11" s="39">
        <v>10</v>
      </c>
      <c r="G11" s="37">
        <v>8.6640575397700537E-2</v>
      </c>
      <c r="H11" s="9"/>
      <c r="J11">
        <v>0.96705019999999997</v>
      </c>
      <c r="K11">
        <v>0.9205972</v>
      </c>
      <c r="L11">
        <v>0.88750479999999998</v>
      </c>
      <c r="M11">
        <v>0.78649760000000002</v>
      </c>
      <c r="N11">
        <v>0.67516799999999999</v>
      </c>
      <c r="O11">
        <v>0.51390740000000001</v>
      </c>
      <c r="P11">
        <v>0.29246729999999999</v>
      </c>
    </row>
    <row r="12" spans="1:16" x14ac:dyDescent="0.25">
      <c r="A12" s="8"/>
      <c r="B12" s="39">
        <v>30</v>
      </c>
      <c r="C12" s="43">
        <v>0.29246729999999999</v>
      </c>
      <c r="D12" s="41"/>
      <c r="E12" s="9"/>
      <c r="F12" s="9"/>
      <c r="G12" s="9"/>
      <c r="H12" s="9"/>
    </row>
    <row r="13" spans="1:16" x14ac:dyDescent="0.25">
      <c r="A13" s="8"/>
      <c r="B13" s="9"/>
      <c r="C13" s="9"/>
      <c r="D13" s="9"/>
      <c r="E13" s="9"/>
      <c r="F13" s="9"/>
      <c r="G13" s="9"/>
      <c r="H13" s="9"/>
      <c r="J13" t="s">
        <v>17</v>
      </c>
      <c r="K13" t="s">
        <v>18</v>
      </c>
      <c r="L13" t="s">
        <v>19</v>
      </c>
      <c r="M13" t="s">
        <v>20</v>
      </c>
      <c r="N13" t="s">
        <v>21</v>
      </c>
      <c r="O13" t="s">
        <v>23</v>
      </c>
      <c r="P13" t="s">
        <v>22</v>
      </c>
    </row>
    <row r="14" spans="1:16" x14ac:dyDescent="0.25">
      <c r="A14" s="8"/>
      <c r="B14" s="9"/>
      <c r="C14" s="9"/>
      <c r="D14" s="9"/>
      <c r="E14" s="9"/>
      <c r="F14" s="9"/>
      <c r="G14" s="9"/>
      <c r="H14" s="9"/>
      <c r="I14" t="s">
        <v>16</v>
      </c>
      <c r="J14">
        <v>1.9227853026744453E-5</v>
      </c>
      <c r="K14">
        <v>1.3229026920822842E-3</v>
      </c>
      <c r="L14">
        <v>2.0013867554161146E-3</v>
      </c>
      <c r="M14">
        <v>1.7923422822669589E-3</v>
      </c>
      <c r="N14">
        <v>1.2492272174914453E-2</v>
      </c>
      <c r="O14">
        <v>5.9333876250582035E-2</v>
      </c>
      <c r="P14">
        <v>0.29609599777975149</v>
      </c>
    </row>
    <row r="15" spans="1:16" x14ac:dyDescent="0.25">
      <c r="A15" s="8"/>
      <c r="B15" s="1" t="s">
        <v>8</v>
      </c>
      <c r="C15" s="2"/>
      <c r="D15" s="9"/>
      <c r="E15" s="9"/>
      <c r="F15" s="9"/>
      <c r="G15" s="9"/>
      <c r="H15" s="9"/>
      <c r="I15" t="s">
        <v>24</v>
      </c>
      <c r="J15">
        <v>1.9366908893471218E-4</v>
      </c>
      <c r="K15">
        <v>2.589647615761225E-3</v>
      </c>
      <c r="L15">
        <v>3.4046999332182789E-3</v>
      </c>
      <c r="M15">
        <v>4.5935508920488775E-3</v>
      </c>
      <c r="N15">
        <v>1.6898585616137701E-2</v>
      </c>
      <c r="O15">
        <v>4.3743441040799039E-2</v>
      </c>
      <c r="P15">
        <v>0.14680330243028905</v>
      </c>
    </row>
    <row r="16" spans="1:16" x14ac:dyDescent="0.25">
      <c r="A16" s="8"/>
      <c r="B16" s="3" t="s">
        <v>0</v>
      </c>
      <c r="C16" s="5" t="s">
        <v>7</v>
      </c>
      <c r="D16" s="9"/>
      <c r="E16" s="9"/>
      <c r="F16" s="9"/>
      <c r="G16" s="9"/>
      <c r="H16" s="9"/>
      <c r="I16" t="s">
        <v>25</v>
      </c>
      <c r="J16">
        <v>9.3722758203307246E-4</v>
      </c>
      <c r="K16">
        <v>3.8247027050665821E-3</v>
      </c>
      <c r="L16">
        <v>5.2931349957622354E-3</v>
      </c>
      <c r="M16">
        <v>8.8599376515657215E-3</v>
      </c>
      <c r="N16">
        <v>2.0369116010355237E-2</v>
      </c>
      <c r="O16">
        <v>3.9455072160755215E-2</v>
      </c>
      <c r="P16">
        <v>0.10307037904020788</v>
      </c>
    </row>
    <row r="17" spans="1:16" x14ac:dyDescent="0.25">
      <c r="A17" s="8"/>
      <c r="B17" s="22">
        <v>1</v>
      </c>
      <c r="C17" s="15">
        <v>1.451E-3</v>
      </c>
      <c r="D17" s="9"/>
      <c r="E17" s="9"/>
      <c r="F17" s="9"/>
      <c r="G17" s="9"/>
      <c r="H17" s="9"/>
      <c r="I17" t="s">
        <v>26</v>
      </c>
      <c r="J17">
        <v>1.9097069103426777E-3</v>
      </c>
      <c r="K17">
        <v>4.7335972951171876E-3</v>
      </c>
      <c r="L17">
        <v>6.7998704175308037E-3</v>
      </c>
      <c r="M17">
        <v>1.3406873117575706E-2</v>
      </c>
      <c r="N17">
        <v>2.2305865168430087E-2</v>
      </c>
      <c r="O17">
        <v>3.909502782071151E-2</v>
      </c>
      <c r="P17">
        <v>8.6640575397700537E-2</v>
      </c>
    </row>
    <row r="18" spans="1:16" x14ac:dyDescent="0.25">
      <c r="A18" s="8"/>
      <c r="B18" s="22">
        <v>2</v>
      </c>
      <c r="C18" s="15">
        <v>1.5430000000000001E-3</v>
      </c>
      <c r="D18" s="9"/>
      <c r="E18" s="9"/>
      <c r="F18" s="9"/>
      <c r="G18" s="9"/>
      <c r="H18" s="9"/>
    </row>
    <row r="19" spans="1:16" x14ac:dyDescent="0.25">
      <c r="A19" s="8"/>
      <c r="B19" s="22">
        <v>3</v>
      </c>
      <c r="C19" s="15">
        <v>1.72E-3</v>
      </c>
      <c r="D19" s="9"/>
      <c r="E19" s="9"/>
      <c r="F19" s="9"/>
      <c r="G19" s="9"/>
      <c r="H19" s="9"/>
      <c r="J19" t="str">
        <f>J6</f>
        <v>AAA</v>
      </c>
      <c r="K19" t="str">
        <f t="shared" ref="K19:P19" si="0">K6</f>
        <v>AA</v>
      </c>
      <c r="L19" t="str">
        <f t="shared" si="0"/>
        <v>A</v>
      </c>
      <c r="M19" t="str">
        <f t="shared" si="0"/>
        <v>BBB</v>
      </c>
      <c r="N19" t="str">
        <f t="shared" si="0"/>
        <v>BB</v>
      </c>
      <c r="O19" t="str">
        <f t="shared" si="0"/>
        <v>B</v>
      </c>
      <c r="P19" t="str">
        <f t="shared" si="0"/>
        <v>CCC</v>
      </c>
    </row>
    <row r="20" spans="1:16" x14ac:dyDescent="0.25">
      <c r="A20" s="8"/>
      <c r="B20" s="22">
        <v>4</v>
      </c>
      <c r="C20" s="15">
        <v>2.0339999999999998E-3</v>
      </c>
      <c r="D20" s="9"/>
      <c r="E20" s="9"/>
      <c r="F20" s="9"/>
      <c r="G20" s="9"/>
      <c r="H20" s="9"/>
      <c r="I20" t="s">
        <v>16</v>
      </c>
      <c r="J20" s="45">
        <f>10000*J14</f>
        <v>0.19227853026744454</v>
      </c>
      <c r="K20" s="45">
        <f t="shared" ref="K20:P20" si="1">10000*K14</f>
        <v>13.229026920822841</v>
      </c>
      <c r="L20" s="45">
        <f t="shared" si="1"/>
        <v>20.013867554161145</v>
      </c>
      <c r="M20" s="45">
        <f t="shared" si="1"/>
        <v>17.92342282266959</v>
      </c>
      <c r="N20" s="45">
        <f t="shared" si="1"/>
        <v>124.92272174914453</v>
      </c>
      <c r="O20" s="45">
        <f t="shared" si="1"/>
        <v>593.33876250582034</v>
      </c>
      <c r="P20" s="45">
        <f t="shared" si="1"/>
        <v>2960.959977797515</v>
      </c>
    </row>
    <row r="21" spans="1:16" x14ac:dyDescent="0.25">
      <c r="A21" s="8"/>
      <c r="B21" s="22">
        <v>5</v>
      </c>
      <c r="C21" s="15">
        <v>2.4729999999999999E-3</v>
      </c>
      <c r="D21" s="9"/>
      <c r="E21" s="9"/>
      <c r="F21" s="9"/>
      <c r="G21" s="9"/>
      <c r="H21" s="9"/>
      <c r="I21" t="s">
        <v>24</v>
      </c>
      <c r="J21" s="45">
        <f t="shared" ref="J21:P21" si="2">10000*J15</f>
        <v>1.9366908893471217</v>
      </c>
      <c r="K21" s="45">
        <f t="shared" si="2"/>
        <v>25.896476157612252</v>
      </c>
      <c r="L21" s="45">
        <f t="shared" si="2"/>
        <v>34.046999332182786</v>
      </c>
      <c r="M21" s="45">
        <f t="shared" si="2"/>
        <v>45.935508920488772</v>
      </c>
      <c r="N21" s="45">
        <f t="shared" si="2"/>
        <v>168.985856161377</v>
      </c>
      <c r="O21" s="45">
        <f t="shared" si="2"/>
        <v>437.43441040799041</v>
      </c>
      <c r="P21" s="45">
        <f t="shared" si="2"/>
        <v>1468.0330243028905</v>
      </c>
    </row>
    <row r="22" spans="1:16" x14ac:dyDescent="0.25">
      <c r="A22" s="8"/>
      <c r="B22" s="22">
        <v>10</v>
      </c>
      <c r="C22" s="15">
        <v>5.267E-3</v>
      </c>
      <c r="D22" s="9"/>
      <c r="E22" s="9"/>
      <c r="F22" s="9"/>
      <c r="G22" s="9"/>
      <c r="H22" s="9"/>
      <c r="I22" t="s">
        <v>25</v>
      </c>
      <c r="J22" s="45">
        <f t="shared" ref="J22:P22" si="3">10000*J16</f>
        <v>9.3722758203307244</v>
      </c>
      <c r="K22" s="45">
        <f t="shared" si="3"/>
        <v>38.247027050665821</v>
      </c>
      <c r="L22" s="45">
        <f t="shared" si="3"/>
        <v>52.931349957622352</v>
      </c>
      <c r="M22" s="45">
        <f t="shared" si="3"/>
        <v>88.599376515657212</v>
      </c>
      <c r="N22" s="45">
        <f t="shared" si="3"/>
        <v>203.69116010355236</v>
      </c>
      <c r="O22" s="45">
        <f t="shared" si="3"/>
        <v>394.55072160755213</v>
      </c>
      <c r="P22" s="45">
        <f t="shared" si="3"/>
        <v>1030.7037904020788</v>
      </c>
    </row>
    <row r="23" spans="1:16" x14ac:dyDescent="0.25">
      <c r="A23" s="8"/>
      <c r="B23" s="22">
        <v>15</v>
      </c>
      <c r="C23" s="15">
        <v>8.6470000000000002E-3</v>
      </c>
      <c r="D23" s="9"/>
      <c r="E23" s="9"/>
      <c r="F23" s="9"/>
      <c r="G23" s="9"/>
      <c r="H23" s="9"/>
      <c r="I23" t="s">
        <v>26</v>
      </c>
      <c r="J23" s="45">
        <f t="shared" ref="J23:P23" si="4">10000*J17</f>
        <v>19.097069103426776</v>
      </c>
      <c r="K23" s="45">
        <f t="shared" si="4"/>
        <v>47.335972951171875</v>
      </c>
      <c r="L23" s="45">
        <f t="shared" si="4"/>
        <v>67.998704175308035</v>
      </c>
      <c r="M23" s="45">
        <f t="shared" si="4"/>
        <v>134.06873117575705</v>
      </c>
      <c r="N23" s="45">
        <f t="shared" si="4"/>
        <v>223.05865168430088</v>
      </c>
      <c r="O23" s="45">
        <f t="shared" si="4"/>
        <v>390.9502782071151</v>
      </c>
      <c r="P23" s="45">
        <f t="shared" si="4"/>
        <v>866.40575397700536</v>
      </c>
    </row>
    <row r="24" spans="1:16" x14ac:dyDescent="0.25">
      <c r="A24" s="8"/>
      <c r="B24" s="23">
        <v>30</v>
      </c>
      <c r="C24" s="16">
        <v>1.3957000000000001E-2</v>
      </c>
      <c r="D24" s="9"/>
      <c r="E24" s="9"/>
      <c r="F24" s="9"/>
      <c r="G24" s="9"/>
      <c r="H24" s="9"/>
    </row>
    <row r="25" spans="1:16" x14ac:dyDescent="0.25">
      <c r="A25" s="8"/>
      <c r="B25" s="9"/>
      <c r="C25" s="9"/>
      <c r="D25" s="9"/>
      <c r="E25" s="9"/>
      <c r="F25" s="9"/>
      <c r="G25" s="9"/>
      <c r="H25" s="9"/>
    </row>
    <row r="26" spans="1:16" x14ac:dyDescent="0.25">
      <c r="A26" s="8"/>
      <c r="E26" s="9"/>
      <c r="F26" s="9"/>
      <c r="G26" s="9"/>
      <c r="H26" s="9"/>
    </row>
    <row r="27" spans="1:16" x14ac:dyDescent="0.25">
      <c r="A27" s="8"/>
      <c r="E27" s="9"/>
      <c r="F27" s="9"/>
      <c r="G27" s="9"/>
      <c r="H27" s="9"/>
    </row>
    <row r="28" spans="1:16" x14ac:dyDescent="0.25">
      <c r="A28" s="8"/>
      <c r="E28" s="9"/>
      <c r="H28" s="9"/>
    </row>
    <row r="29" spans="1:16" x14ac:dyDescent="0.25">
      <c r="A29" s="8"/>
      <c r="E29" s="9"/>
      <c r="H29" s="9"/>
    </row>
    <row r="30" spans="1:16" x14ac:dyDescent="0.25">
      <c r="A30" s="8"/>
      <c r="E30" s="9"/>
      <c r="H30" s="9"/>
    </row>
    <row r="31" spans="1:16" x14ac:dyDescent="0.25">
      <c r="A31" s="8"/>
      <c r="E31" s="9"/>
      <c r="H31" s="9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F28" sqref="F28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ISDAStandard Bootstrapping</vt:lpstr>
      <vt:lpstr>CreditCurve NonStandard</vt:lpstr>
      <vt:lpstr>ISDAStandard Pricing</vt:lpstr>
      <vt:lpstr>JPY Std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2015-04-23T07:33:56Z</dcterms:modified>
</cp:coreProperties>
</file>